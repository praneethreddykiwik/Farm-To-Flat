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transaction" sheetId="2" state="visible" r:id="rId2"/>
    <sheet xmlns:r="http://schemas.openxmlformats.org/officeDocument/2006/relationships" name="Worked examples" sheetId="3" state="visible" r:id="rId3"/>
    <sheet xmlns:r="http://schemas.openxmlformats.org/officeDocument/2006/relationships" name="Assumption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₹#,##0.00"/>
  </numFmts>
  <fonts count="8">
    <font>
      <name val="Calibri"/>
      <family val="2"/>
      <color theme="1"/>
      <sz val="11"/>
      <scheme val="minor"/>
    </font>
    <font>
      <b val="1"/>
      <color rgb="001B2A20"/>
      <sz val="16"/>
    </font>
    <font>
      <i val="1"/>
      <color rgb="006B7A70"/>
      <sz val="9"/>
    </font>
    <font>
      <b val="1"/>
      <color rgb="001E7A3D"/>
      <sz val="12"/>
    </font>
    <font>
      <b val="1"/>
      <color rgb="00FFFFFF"/>
      <sz val="11"/>
    </font>
    <font>
      <b val="1"/>
    </font>
    <font>
      <b val="1"/>
      <color rgb="001E7A3D"/>
      <sz val="11"/>
    </font>
    <font>
      <b val="1"/>
      <color rgb="001B2A20"/>
    </font>
  </fonts>
  <fills count="5">
    <fill>
      <patternFill/>
    </fill>
    <fill>
      <patternFill patternType="gray125"/>
    </fill>
    <fill>
      <patternFill patternType="solid">
        <fgColor rgb="001E7A3D"/>
      </patternFill>
    </fill>
    <fill>
      <patternFill patternType="solid">
        <fgColor rgb="00FBF3D9"/>
      </patternFill>
    </fill>
    <fill>
      <patternFill patternType="solid">
        <fgColor rgb="00E4F0E8"/>
      </patternFill>
    </fill>
  </fills>
  <borders count="2">
    <border>
      <left/>
      <right/>
      <top/>
      <bottom/>
      <diagonal/>
    </border>
    <border>
      <left style="thin">
        <color rgb="00D8E0DA"/>
      </left>
      <right style="thin">
        <color rgb="00D8E0DA"/>
      </right>
      <top style="thin">
        <color rgb="00D8E0DA"/>
      </top>
      <bottom style="thin">
        <color rgb="00D8E0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0" fontId="0" fillId="3" borderId="1" pivotButton="0" quotePrefix="0" xfId="0"/>
    <xf numFmtId="2" fontId="0" fillId="3" borderId="1" pivotButton="0" quotePrefix="0" xfId="0"/>
    <xf numFmtId="164" fontId="0" fillId="0" borderId="0" pivotButton="0" quotePrefix="0" xfId="0"/>
    <xf numFmtId="164" fontId="5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6" customHeight="1">
      <c r="A1" s="1" t="inlineStr">
        <is>
          <t>Farm-to-Flat — Cost Summary (all figures in ₹)</t>
        </is>
      </c>
    </row>
    <row r="2">
      <c r="A2" s="2" t="inlineStr">
        <is>
          <t>Assumes US$1 = ₹88. Three scale scenarios. See the other tabs for the detail behind every number.</t>
        </is>
      </c>
    </row>
    <row r="4">
      <c r="A4" s="3" t="inlineStr">
        <is>
          <t>A) ONE-TIME / STARTUP COSTS (pay once to launch)</t>
        </is>
      </c>
    </row>
    <row r="5">
      <c r="A5" s="4" t="inlineStr">
        <is>
          <t>Item</t>
        </is>
      </c>
      <c r="B5" s="4" t="inlineStr">
        <is>
          <t>Cost (₹)</t>
        </is>
      </c>
      <c r="C5" s="4" t="inlineStr">
        <is>
          <t>Notes</t>
        </is>
      </c>
    </row>
    <row r="6">
      <c r="A6" s="5" t="inlineStr">
        <is>
          <t>Google Play Developer account</t>
        </is>
      </c>
      <c r="B6" s="6" t="n">
        <v>2200</v>
      </c>
      <c r="C6" s="7" t="inlineStr">
        <is>
          <t>One-time, lifetime. ($25)</t>
        </is>
      </c>
    </row>
    <row r="7">
      <c r="A7" s="5" t="inlineStr">
        <is>
          <t>Apple Developer account (Year 1)</t>
        </is>
      </c>
      <c r="B7" s="6" t="n">
        <v>8700</v>
      </c>
      <c r="C7" s="7" t="inlineStr">
        <is>
          <t>Renews yearly. ($99/yr) — see note</t>
        </is>
      </c>
    </row>
    <row r="8">
      <c r="A8" s="5" t="inlineStr">
        <is>
          <t>DLT registration for SMS/OTP (TRAI)</t>
        </is>
      </c>
      <c r="B8" s="6" t="n">
        <v>5900</v>
      </c>
      <c r="C8" s="7" t="inlineStr">
        <is>
          <t>One-time entity reg. Mandatory for OTP in India.</t>
        </is>
      </c>
    </row>
    <row r="9">
      <c r="A9" s="5" t="inlineStr">
        <is>
          <t>Domain name (Year 1)</t>
        </is>
      </c>
      <c r="B9" s="6" t="n">
        <v>1000</v>
      </c>
      <c r="C9" s="7" t="inlineStr">
        <is>
          <t>e.g. farmtoflat.in — renews ~₹1,000/yr</t>
        </is>
      </c>
    </row>
    <row r="10">
      <c r="A10" s="5" t="inlineStr">
        <is>
          <t>Business/DUNS number</t>
        </is>
      </c>
      <c r="B10" s="6" t="n">
        <v>0</v>
      </c>
      <c r="C10" s="7" t="inlineStr">
        <is>
          <t>Free from D&amp;B (needed for Apple org account)</t>
        </is>
      </c>
    </row>
    <row r="11">
      <c r="A11" s="5" t="inlineStr">
        <is>
          <t>Razorpay onboarding / KYC</t>
        </is>
      </c>
      <c r="B11" s="6" t="n">
        <v>0</v>
      </c>
      <c r="C11" s="7" t="inlineStr">
        <is>
          <t>Free</t>
        </is>
      </c>
    </row>
    <row r="12">
      <c r="A12" s="8" t="inlineStr">
        <is>
          <t>TOTAL ONE-TIME</t>
        </is>
      </c>
      <c r="B12" s="9">
        <f>SUM(B6:B11)</f>
        <v/>
      </c>
    </row>
    <row r="15">
      <c r="A15" s="3" t="inlineStr">
        <is>
          <t>B) MONTHLY FIXED COSTS (recurring, regardless of orders)</t>
        </is>
      </c>
    </row>
    <row r="16">
      <c r="A16" s="4" t="inlineStr">
        <is>
          <t>Service</t>
        </is>
      </c>
      <c r="B16" s="4" t="inlineStr">
        <is>
          <t>Beta
(~300 orders/mo)</t>
        </is>
      </c>
      <c r="C16" s="4" t="inlineStr">
        <is>
          <t>Growing
(~3,000/mo)</t>
        </is>
      </c>
      <c r="D16" s="4" t="inlineStr">
        <is>
          <t>Scale
(~20,000/mo)</t>
        </is>
      </c>
      <c r="E16" s="4" t="inlineStr">
        <is>
          <t>Notes</t>
        </is>
      </c>
    </row>
    <row r="17">
      <c r="A17" s="5" t="inlineStr">
        <is>
          <t>API server hosting</t>
        </is>
      </c>
      <c r="B17" s="6" t="n">
        <v>0</v>
      </c>
      <c r="C17" s="6" t="n">
        <v>620</v>
      </c>
      <c r="D17" s="6" t="n">
        <v>2200</v>
      </c>
      <c r="E17" s="7" t="inlineStr">
        <is>
          <t>Render/Railway free→paid, or Hostinger VPS ~₹700</t>
        </is>
      </c>
    </row>
    <row r="18">
      <c r="A18" s="5" t="inlineStr">
        <is>
          <t>Database (Supabase)</t>
        </is>
      </c>
      <c r="B18" s="6" t="n">
        <v>0</v>
      </c>
      <c r="C18" s="6" t="n">
        <v>2200</v>
      </c>
      <c r="D18" s="6" t="n">
        <v>3500</v>
      </c>
      <c r="E18" s="7" t="inlineStr">
        <is>
          <t>Free tier → Pro $25 when data/users grow</t>
        </is>
      </c>
    </row>
    <row r="19">
      <c r="A19" s="5" t="inlineStr">
        <is>
          <t>Admin panel hosting (Vercel)</t>
        </is>
      </c>
      <c r="B19" s="6" t="n">
        <v>0</v>
      </c>
      <c r="C19" s="6" t="n">
        <v>0</v>
      </c>
      <c r="D19" s="6" t="n">
        <v>0</v>
      </c>
      <c r="E19" s="7" t="inlineStr">
        <is>
          <t>Free tier is enough; static site</t>
        </is>
      </c>
    </row>
    <row r="20">
      <c r="A20" s="5" t="inlineStr">
        <is>
          <t>File/image storage</t>
        </is>
      </c>
      <c r="B20" s="6" t="n">
        <v>0</v>
      </c>
      <c r="C20" s="6" t="n">
        <v>0</v>
      </c>
      <c r="D20" s="6" t="n">
        <v>500</v>
      </c>
      <c r="E20" s="7" t="inlineStr">
        <is>
          <t>Supabase Storage; free until several GB</t>
        </is>
      </c>
    </row>
    <row r="21">
      <c r="A21" s="5" t="inlineStr">
        <is>
          <t>Push notifications</t>
        </is>
      </c>
      <c r="B21" s="6" t="n">
        <v>0</v>
      </c>
      <c r="C21" s="6" t="n">
        <v>0</v>
      </c>
      <c r="D21" s="6" t="n">
        <v>0</v>
      </c>
      <c r="E21" s="7" t="inlineStr">
        <is>
          <t>Expo + Firebase FCM — free</t>
        </is>
      </c>
    </row>
    <row r="22">
      <c r="A22" s="5" t="inlineStr">
        <is>
          <t>Cloudflare (DNS/SSL/CDN)</t>
        </is>
      </c>
      <c r="B22" s="6" t="n">
        <v>0</v>
      </c>
      <c r="C22" s="6" t="n">
        <v>0</v>
      </c>
      <c r="D22" s="6" t="n">
        <v>0</v>
      </c>
      <c r="E22" s="7" t="inlineStr">
        <is>
          <t>Free plan covers this</t>
        </is>
      </c>
    </row>
    <row r="23">
      <c r="A23" s="5" t="inlineStr">
        <is>
          <t>Error monitoring (Sentry)</t>
        </is>
      </c>
      <c r="B23" s="6" t="n">
        <v>0</v>
      </c>
      <c r="C23" s="6" t="n">
        <v>0</v>
      </c>
      <c r="D23" s="6" t="n">
        <v>2300</v>
      </c>
      <c r="E23" s="7" t="inlineStr">
        <is>
          <t>Free dev tier → Team $26 at scale</t>
        </is>
      </c>
    </row>
    <row r="24">
      <c r="A24" s="5" t="inlineStr">
        <is>
          <t>Domain (monthly share)</t>
        </is>
      </c>
      <c r="B24" s="6" t="n">
        <v>85</v>
      </c>
      <c r="C24" s="6" t="n">
        <v>85</v>
      </c>
      <c r="D24" s="6" t="n">
        <v>85</v>
      </c>
      <c r="E24" s="7" t="inlineStr">
        <is>
          <t>₹1,000/yr ÷ 12</t>
        </is>
      </c>
    </row>
    <row r="25">
      <c r="A25" s="5" t="inlineStr">
        <is>
          <t>Apple acct (monthly share)</t>
        </is>
      </c>
      <c r="B25" s="6" t="n">
        <v>725</v>
      </c>
      <c r="C25" s="6" t="n">
        <v>725</v>
      </c>
      <c r="D25" s="6" t="n">
        <v>725</v>
      </c>
      <c r="E25" s="7" t="inlineStr">
        <is>
          <t>$99/yr ÷ 12</t>
        </is>
      </c>
    </row>
    <row r="26">
      <c r="A26" s="8" t="inlineStr">
        <is>
          <t>TOTAL MONTHLY FIXED</t>
        </is>
      </c>
      <c r="B26" s="9">
        <f>SUM(B17:B25)</f>
        <v/>
      </c>
      <c r="C26" s="9">
        <f>SUM(C17:C25)</f>
        <v/>
      </c>
      <c r="D26" s="9">
        <f>SUM(D17:D25)</f>
        <v/>
      </c>
    </row>
    <row r="29">
      <c r="A29" s="10" t="inlineStr">
        <is>
          <t>C) VARIABLE COSTS scale with usage — see 'Per-transaction' and 'Worked examples' tabs.</t>
        </is>
      </c>
    </row>
    <row r="30">
      <c r="A30" s="2" t="inlineStr">
        <is>
          <t>Rule of thumb: SMS ≈ ₹0.20 per login, and Razorpay ≈ ~1% of money collected (UPI is ~free, cards ~2.36%).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</cols>
  <sheetData>
    <row r="1" ht="26" customHeight="1">
      <c r="A1" s="1" t="inlineStr">
        <is>
          <t>Variable (per-use) costs — the two that scale with customers</t>
        </is>
      </c>
    </row>
    <row r="2">
      <c r="A2" s="2" t="inlineStr">
        <is>
          <t>These are charged per event, not monthly. Multiply by your volume (see Worked examples).</t>
        </is>
      </c>
    </row>
    <row r="4">
      <c r="A4" s="3" t="inlineStr">
        <is>
          <t>1) MSG91 — SMS / OTP</t>
        </is>
      </c>
    </row>
    <row r="5">
      <c r="A5" s="4" t="inlineStr">
        <is>
          <t>Item</t>
        </is>
      </c>
      <c r="B5" s="4" t="inlineStr">
        <is>
          <t>Rate</t>
        </is>
      </c>
      <c r="C5" s="4" t="inlineStr">
        <is>
          <t>Notes</t>
        </is>
      </c>
    </row>
    <row r="6">
      <c r="A6" s="5" t="inlineStr">
        <is>
          <t>Transactional / OTP SMS (India)</t>
        </is>
      </c>
      <c r="B6" s="5" t="inlineStr">
        <is>
          <t>₹0.15 – ₹0.25 per SMS</t>
        </is>
      </c>
      <c r="C6" s="5" t="inlineStr">
        <is>
          <t>1 credit per 160 characters. Budget ₹0.20.</t>
        </is>
      </c>
    </row>
    <row r="7">
      <c r="A7" s="5" t="inlineStr">
        <is>
          <t>OTP login (1 SMS)</t>
        </is>
      </c>
      <c r="B7" s="5" t="inlineStr">
        <is>
          <t>₹0.20</t>
        </is>
      </c>
      <c r="C7" s="5" t="inlineStr">
        <is>
          <t>One SMS per code sent. Resend = +₹0.20.</t>
        </is>
      </c>
    </row>
    <row r="8">
      <c r="A8" s="5" t="inlineStr">
        <is>
          <t>DLT registration</t>
        </is>
      </c>
      <c r="B8" s="5" t="inlineStr">
        <is>
          <t>~₹5,900 one-time</t>
        </is>
      </c>
      <c r="C8" s="5" t="inlineStr">
        <is>
          <t>Govt requirement, not MSG91's fee. In one-time costs.</t>
        </is>
      </c>
    </row>
    <row r="9">
      <c r="A9" s="5" t="inlineStr">
        <is>
          <t>International SMS</t>
        </is>
      </c>
      <c r="B9" s="5" t="inlineStr">
        <is>
          <t>₹2 – ₹10+ each</t>
        </is>
      </c>
      <c r="C9" s="5" t="inlineStr">
        <is>
          <t>Not used — we only serve India.</t>
        </is>
      </c>
    </row>
    <row r="11">
      <c r="A11" s="3" t="inlineStr">
        <is>
          <t>2) Razorpay — payment gateway</t>
        </is>
      </c>
    </row>
    <row r="12">
      <c r="A12" s="4" t="inlineStr">
        <is>
          <t>Payment method</t>
        </is>
      </c>
      <c r="B12" s="4" t="inlineStr">
        <is>
          <t>Fee</t>
        </is>
      </c>
      <c r="C12" s="4" t="inlineStr">
        <is>
          <t>On a ₹600 order you pay</t>
        </is>
      </c>
    </row>
    <row r="13">
      <c r="A13" s="5" t="inlineStr">
        <is>
          <t>UPI (GPay/PhonePe/Paytm)</t>
        </is>
      </c>
      <c r="B13" s="5" t="inlineStr">
        <is>
          <t>~0% (often free)</t>
        </is>
      </c>
      <c r="C13" s="5" t="inlineStr">
        <is>
          <t>₹0</t>
        </is>
      </c>
    </row>
    <row r="14">
      <c r="A14" s="5" t="inlineStr">
        <is>
          <t>Debit / Credit card, Netbanking, Wallet</t>
        </is>
      </c>
      <c r="B14" s="5" t="inlineStr">
        <is>
          <t>2% + 18% GST = 2.36%</t>
        </is>
      </c>
      <c r="C14" s="5" t="inlineStr">
        <is>
          <t>₹14.16</t>
        </is>
      </c>
    </row>
    <row r="15">
      <c r="A15" s="5" t="inlineStr">
        <is>
          <t>International cards</t>
        </is>
      </c>
      <c r="B15" s="5" t="inlineStr">
        <is>
          <t>3% + GST = 3.54%</t>
        </is>
      </c>
      <c r="C15" s="5" t="inlineStr">
        <is>
          <t>₹21.24</t>
        </is>
      </c>
    </row>
    <row r="16">
      <c r="A16" s="5" t="inlineStr">
        <is>
          <t>Blended (assume 60% UPI, 40% card)</t>
        </is>
      </c>
      <c r="B16" s="5" t="inlineStr">
        <is>
          <t>~0.94% effective</t>
        </is>
      </c>
      <c r="C16" s="5" t="inlineStr">
        <is>
          <t>≈ ₹5.66</t>
        </is>
      </c>
    </row>
    <row r="17">
      <c r="A17" s="5" t="inlineStr">
        <is>
          <t>Monthly / setup fee</t>
        </is>
      </c>
      <c r="B17" s="5" t="inlineStr">
        <is>
          <t>₹0</t>
        </is>
      </c>
      <c r="C17" s="5" t="inlineStr">
        <is>
          <t>No fixed fee on standard plan</t>
        </is>
      </c>
    </row>
    <row r="18">
      <c r="A18" s="5" t="inlineStr">
        <is>
          <t>Settlement</t>
        </is>
      </c>
      <c r="B18" s="5" t="inlineStr">
        <is>
          <t>T+2 days</t>
        </is>
      </c>
      <c r="C18" s="5" t="inlineStr">
        <is>
          <t>Money reaches your bank in ~2 working days</t>
        </is>
      </c>
    </row>
    <row r="20">
      <c r="A20" s="2" t="inlineStr">
        <is>
          <t>Note: because UPI dominates in India and is ~free, your real gateway cost is far below the headline 2%.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Worked examples — total monthly cost at three sizes</t>
        </is>
      </c>
    </row>
    <row r="2">
      <c r="A2" s="2" t="inlineStr">
        <is>
          <t>Everything below is calculated with live formulas — change the yellow inputs and totals update.</t>
        </is>
      </c>
    </row>
    <row r="4">
      <c r="A4" s="3" t="inlineStr">
        <is>
          <t>INPUTS (edit the yellow cells)</t>
        </is>
      </c>
    </row>
    <row r="5">
      <c r="A5" s="4" t="inlineStr">
        <is>
          <t>Assumption</t>
        </is>
      </c>
      <c r="B5" s="4" t="inlineStr">
        <is>
          <t>Beta</t>
        </is>
      </c>
      <c r="C5" s="4" t="inlineStr">
        <is>
          <t>Growing</t>
        </is>
      </c>
      <c r="D5" s="4" t="inlineStr">
        <is>
          <t>Scale</t>
        </is>
      </c>
    </row>
    <row r="6">
      <c r="A6" t="inlineStr">
        <is>
          <t>Orders per month</t>
        </is>
      </c>
      <c r="B6" s="11" t="n">
        <v>300</v>
      </c>
      <c r="C6" s="11" t="n">
        <v>3000</v>
      </c>
      <c r="D6" s="11" t="n">
        <v>20000</v>
      </c>
    </row>
    <row r="7">
      <c r="A7" t="inlineStr">
        <is>
          <t>Average order value (₹)</t>
        </is>
      </c>
      <c r="B7" s="11" t="n">
        <v>600</v>
      </c>
      <c r="C7" s="11" t="n">
        <v>600</v>
      </c>
      <c r="D7" s="11" t="n">
        <v>650</v>
      </c>
    </row>
    <row r="8">
      <c r="A8" t="inlineStr">
        <is>
          <t>OTP logins per month (SMS sent)</t>
        </is>
      </c>
      <c r="B8" s="11" t="n">
        <v>400</v>
      </c>
      <c r="C8" s="11" t="n">
        <v>3500</v>
      </c>
      <c r="D8" s="11" t="n">
        <v>22000</v>
      </c>
    </row>
    <row r="9">
      <c r="A9" t="inlineStr">
        <is>
          <t>Cost per SMS (₹)</t>
        </is>
      </c>
      <c r="B9" s="12" t="n">
        <v>0.2</v>
      </c>
      <c r="C9" s="12" t="n">
        <v>0.2</v>
      </c>
      <c r="D9" s="12" t="n">
        <v>0.2</v>
      </c>
    </row>
    <row r="10">
      <c r="A10" t="inlineStr">
        <is>
          <t>Blended Razorpay rate (% of money collected)</t>
        </is>
      </c>
      <c r="B10" s="12" t="n">
        <v>0.9399999999999999</v>
      </c>
      <c r="C10" s="12" t="n">
        <v>0.9399999999999999</v>
      </c>
      <c r="D10" s="12" t="n">
        <v>0.9399999999999999</v>
      </c>
    </row>
    <row r="13">
      <c r="A13" s="3" t="inlineStr">
        <is>
          <t>MONTHLY COST BUILD-UP</t>
        </is>
      </c>
    </row>
    <row r="14">
      <c r="A14" s="4" t="inlineStr">
        <is>
          <t>Line</t>
        </is>
      </c>
      <c r="B14" s="4" t="inlineStr">
        <is>
          <t>Beta</t>
        </is>
      </c>
      <c r="C14" s="4" t="inlineStr">
        <is>
          <t>Growing</t>
        </is>
      </c>
      <c r="D14" s="4" t="inlineStr">
        <is>
          <t>Scale</t>
        </is>
      </c>
    </row>
    <row r="15">
      <c r="A15" t="inlineStr">
        <is>
          <t>Fixed monthly (from Summary tab)</t>
        </is>
      </c>
      <c r="B15" s="13">
        <f>Summary!B26</f>
        <v/>
      </c>
      <c r="C15" s="13">
        <f>Summary!C26</f>
        <v/>
      </c>
      <c r="D15" s="13">
        <f>Summary!D26</f>
        <v/>
      </c>
    </row>
    <row r="16">
      <c r="A16" t="inlineStr">
        <is>
          <t>SMS / OTP  (logins × cost per SMS)</t>
        </is>
      </c>
      <c r="B16" s="13">
        <f>B8*B9</f>
        <v/>
      </c>
      <c r="C16" s="13">
        <f>C8*C9</f>
        <v/>
      </c>
      <c r="D16" s="13">
        <f>D8*D9</f>
        <v/>
      </c>
    </row>
    <row r="17">
      <c r="A17" t="inlineStr">
        <is>
          <t>Razorpay  (orders × AOV × rate%)</t>
        </is>
      </c>
      <c r="B17" s="13">
        <f>B6*B7*B10/100</f>
        <v/>
      </c>
      <c r="C17" s="13">
        <f>C6*C7*C10/100</f>
        <v/>
      </c>
      <c r="D17" s="13">
        <f>D6*D7*D10/100</f>
        <v/>
      </c>
    </row>
    <row r="18">
      <c r="A18" s="8" t="inlineStr">
        <is>
          <t>TOTAL MONTHLY COST</t>
        </is>
      </c>
      <c r="B18" s="14">
        <f>B15+B16+B17</f>
        <v/>
      </c>
      <c r="C18" s="14">
        <f>C15+C16+C17</f>
        <v/>
      </c>
      <c r="D18" s="14">
        <f>D15+D16+D17</f>
        <v/>
      </c>
    </row>
    <row r="19">
      <c r="A19" t="inlineStr">
        <is>
          <t>Money collected (GMV)</t>
        </is>
      </c>
      <c r="B19" s="13">
        <f>B6*B7</f>
        <v/>
      </c>
      <c r="C19" s="13">
        <f>C6*C7</f>
        <v/>
      </c>
      <c r="D19" s="13">
        <f>D6*D7</f>
        <v/>
      </c>
    </row>
    <row r="20">
      <c r="A20" t="inlineStr">
        <is>
          <t>Cost as % of money collected</t>
        </is>
      </c>
      <c r="B20" s="15">
        <f>B18/B19</f>
        <v/>
      </c>
      <c r="C20" s="15">
        <f>C18/C19</f>
        <v/>
      </c>
      <c r="D20" s="15">
        <f>D18/D19</f>
        <v/>
      </c>
    </row>
    <row r="21">
      <c r="A21" t="inlineStr">
        <is>
          <t>Tech cost per order</t>
        </is>
      </c>
      <c r="B21" s="16">
        <f>B18/B6</f>
        <v/>
      </c>
      <c r="C21" s="16">
        <f>C18/C6</f>
        <v/>
      </c>
      <c r="D21" s="16">
        <f>D18/D6</f>
        <v/>
      </c>
    </row>
    <row r="23">
      <c r="A23" s="2" t="inlineStr">
        <is>
          <t>Reading it: at Beta you spend almost nothing (~₹1.5k/mo); the app only gets expensive once real GMV flows —</t>
        </is>
      </c>
    </row>
    <row r="24">
      <c r="A24" s="2" t="inlineStr">
        <is>
          <t>and by then it's a small % of the money passing through. Payment fees are your biggest variable, not servers.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6" customHeight="1">
      <c r="A1" s="1" t="inlineStr">
        <is>
          <t>Assumptions, caveats &amp; what to confirm</t>
        </is>
      </c>
    </row>
    <row r="3" ht="30" customHeight="1">
      <c r="A3" s="17" t="inlineStr">
        <is>
          <t>Currency</t>
        </is>
      </c>
      <c r="B3" s="18" t="inlineStr">
        <is>
          <t>US$1 = ₹88. Re-check on the day — a weaker rupee raises Apple/USD-billed costs.</t>
        </is>
      </c>
    </row>
    <row r="4" ht="30" customHeight="1">
      <c r="A4" s="17" t="inlineStr">
        <is>
          <t>Prices are ballparks</t>
        </is>
      </c>
      <c r="B4" s="18" t="inlineStr">
        <is>
          <t>Confirm on each provider's pricing page before committing. Rates change.</t>
        </is>
      </c>
    </row>
    <row r="5" ht="30" customHeight="1">
      <c r="A5" s="17" t="inlineStr">
        <is>
          <t>Apple Developer</t>
        </is>
      </c>
      <c r="B5" s="18" t="inlineStr">
        <is>
          <t>$99/YEAR (recurring), not one-time. Shown once in startup and as a monthly share.</t>
        </is>
      </c>
    </row>
    <row r="6" ht="30" customHeight="1">
      <c r="A6" s="17" t="inlineStr">
        <is>
          <t>Google Play</t>
        </is>
      </c>
      <c r="B6" s="18" t="inlineStr">
        <is>
          <t>$25 ONE-TIME, lifetime.</t>
        </is>
      </c>
    </row>
    <row r="7" ht="30" customHeight="1">
      <c r="A7" s="17" t="inlineStr">
        <is>
          <t>DLT / SMS</t>
        </is>
      </c>
      <c r="B7" s="18" t="inlineStr">
        <is>
          <t>OTP SMS in India legally requires DLT registration (~₹5,900 one-time). Per-template approval too.</t>
        </is>
      </c>
    </row>
    <row r="8" ht="30" customHeight="1">
      <c r="A8" s="17" t="inlineStr">
        <is>
          <t>Razorpay</t>
        </is>
      </c>
      <c r="B8" s="18" t="inlineStr">
        <is>
          <t>2% + 18% GST on the fee for cards. UPI is usually free — most Indian grocery orders are UPI.</t>
        </is>
      </c>
    </row>
    <row r="9" ht="30" customHeight="1">
      <c r="A9" s="17" t="inlineStr">
        <is>
          <t>Hosting is optional/flexible</t>
        </is>
      </c>
      <c r="B9" s="18" t="inlineStr">
        <is>
          <t>Render is NOT required. Railway, Fly.io, or a Hostinger VPS all work. VPS = cheaper but you manage it.</t>
        </is>
      </c>
    </row>
    <row r="10" ht="30" customHeight="1">
      <c r="A10" s="17" t="inlineStr">
        <is>
          <t>App store publishing</t>
        </is>
      </c>
      <c r="B10" s="18" t="inlineStr">
        <is>
          <t>Cloudflare/Firebase/Supabase do NOT publish to the stores. That's EAS Build/Submit + the dev accounts.</t>
        </is>
      </c>
    </row>
    <row r="11" ht="30" customHeight="1">
      <c r="A11" s="17" t="inlineStr">
        <is>
          <t>Supabase free tier</t>
        </is>
      </c>
      <c r="B11" s="18" t="inlineStr">
        <is>
          <t>Fine for Beta. Move to Pro ($25) when you outgrow row/storage/bandwidth limits.</t>
        </is>
      </c>
    </row>
    <row r="12" ht="30" customHeight="1">
      <c r="A12" s="17" t="inlineStr">
        <is>
          <t>Not included</t>
        </is>
      </c>
      <c r="B12" s="18" t="inlineStr">
        <is>
          <t>Marketing, delivery staff wages, produce cost, packaging, GST on your sales, accounting. This sheet is TECH/platform cost only.</t>
        </is>
      </c>
    </row>
    <row r="13" ht="30" customHeight="1">
      <c r="A13" s="17" t="inlineStr">
        <is>
          <t>Payment fees ≠ your cost</t>
        </is>
      </c>
      <c r="B13" s="18" t="inlineStr">
        <is>
          <t>Razorpay fee is on money you collect from customers; you typically fold it into pricing, not absorb it.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2026-09-10T16:45:08Z</dcterms:created>
  <dcterms:modified xmlns:dcterms="http://purl.org/dc/terms/" xmlns:xsi="http://www.w3.org/2001/XMLSchema-instance" xsi:type="dcterms:W3CDTF">2026-09-10T16:45:08Z</dcterms:modified>
</cp:coreProperties>
</file>